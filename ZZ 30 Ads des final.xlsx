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eron\Downloads\shayan\"/>
    </mc:Choice>
  </mc:AlternateContent>
  <xr:revisionPtr revIDLastSave="0" documentId="8_{2E5EB348-DFE9-47FE-827B-010014688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3" l="1"/>
  <c r="C24" i="3"/>
  <c r="E24" i="3" s="1"/>
  <c r="F24" i="3" s="1"/>
  <c r="H24" i="3" s="1"/>
  <c r="C23" i="3"/>
  <c r="I23" i="3"/>
  <c r="B19" i="3"/>
  <c r="B15" i="3"/>
  <c r="B14" i="3"/>
  <c r="B16" i="3" l="1"/>
  <c r="B17" i="3" s="1"/>
  <c r="B20" i="3" l="1"/>
  <c r="E23" i="3" s="1"/>
  <c r="F23" i="3" s="1"/>
  <c r="J23" i="3" l="1"/>
  <c r="H23" i="3"/>
</calcChain>
</file>

<file path=xl/sharedStrings.xml><?xml version="1.0" encoding="utf-8"?>
<sst xmlns="http://schemas.openxmlformats.org/spreadsheetml/2006/main" count="47" uniqueCount="45">
  <si>
    <t>1. EXPERIMENTAL INPUTS  (edit cells — everything below updates automatically)</t>
  </si>
  <si>
    <t>Parameter</t>
  </si>
  <si>
    <t>Value</t>
  </si>
  <si>
    <t>Notes</t>
  </si>
  <si>
    <t>CO₂ feed concentration, C₀</t>
  </si>
  <si>
    <t>mole fraction</t>
  </si>
  <si>
    <t>Molar volume at 25°C, Vₘ,25</t>
  </si>
  <si>
    <t>mL/mol</t>
  </si>
  <si>
    <t>Reference temperature, T₁</t>
  </si>
  <si>
    <t>°C</t>
  </si>
  <si>
    <t>Experimental temperature, T₂</t>
  </si>
  <si>
    <t>CO₂ gas flow</t>
  </si>
  <si>
    <t>mL/min</t>
  </si>
  <si>
    <t>N₂ gas flow</t>
  </si>
  <si>
    <t>Baseline signal, S_baseline</t>
  </si>
  <si>
    <t>A, at m/z = 44</t>
  </si>
  <si>
    <t>2. MOLAR VOLUME CORRECTION (25°C → 24°C):   Vₘ,24 = Vₘ,25 × (T₂/T₁)</t>
  </si>
  <si>
    <t>T₁ (K)</t>
  </si>
  <si>
    <t>Formula: T₁(°C) + 273.15</t>
  </si>
  <si>
    <t>T₂ (K)</t>
  </si>
  <si>
    <t>Formula: T₂(°C) + 273.15</t>
  </si>
  <si>
    <t>Vₘ,24 (mL/mol)</t>
  </si>
  <si>
    <t>Formula: Vₘ,25 × (T₂ / T₁)</t>
  </si>
  <si>
    <t>Vₘ,24 (L/mol)</t>
  </si>
  <si>
    <t>3. TOTAL MOLAR FLOW RATE:   ntotal = F_total / Vₘ,24</t>
  </si>
  <si>
    <t>F_total (mL/min)</t>
  </si>
  <si>
    <t>Formula: F(CO₂) + F(N₂)</t>
  </si>
  <si>
    <t>ntotal (mol/min)</t>
  </si>
  <si>
    <t>Formula: F_total / Vₘ,24</t>
  </si>
  <si>
    <t>4. CALIBRATION FACTORS For all samples:   k = C₀ / S_baseline</t>
  </si>
  <si>
    <t>Baseline for all smaples</t>
  </si>
  <si>
    <t>Baseline value</t>
  </si>
  <si>
    <t>k (A⁻¹)= C₀ / S baseline</t>
  </si>
  <si>
    <t>Area Ads by integration</t>
  </si>
  <si>
    <t>n CO2 (mol)</t>
  </si>
  <si>
    <t>n CO2 (mmol)</t>
  </si>
  <si>
    <t>Mass of the Sample (g)</t>
  </si>
  <si>
    <t>q= (mmol /g)</t>
  </si>
  <si>
    <t>Mass (-21.4%)</t>
  </si>
  <si>
    <t>q= (mmol /g) (with -21.4%)</t>
  </si>
  <si>
    <t>q= (mmol /g) (with -21.4%) ---Neg Ref monolith</t>
  </si>
  <si>
    <t>ZZ 30 B6 Zeo</t>
  </si>
  <si>
    <t>Reference Monolith</t>
  </si>
  <si>
    <t xml:space="preserve">Material:Reference Monolith, ZZ 30 B6 Zeo  |   m/z = 44  </t>
  </si>
  <si>
    <t>CO₂ ADSORPTION Capacity for Reference and ZZ 30 COMPLETE CALCULATION WORKFLOW_Shayan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</si>
</sst>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E+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1F4E78"/>
      <name val="Cambria"/>
      <family val="1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61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1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/>
    <xf numFmtId="0" fontId="4" fillId="4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0" fillId="0" borderId="0" xfId="0" applyNumberFormat="1" applyAlignment="1">
      <alignment horizontal="center"/>
    </xf>
    <xf numFmtId="4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165" fontId="0" fillId="0" borderId="0" xfId="0" applyNumberFormat="1"/>
    <xf numFmtId="2" fontId="0" fillId="8" borderId="0" xfId="0" applyNumberFormat="1" applyFill="1"/>
    <xf numFmtId="2" fontId="0" fillId="0" borderId="0" xfId="0" applyNumberFormat="1"/>
    <xf numFmtId="2" fontId="0" fillId="9" borderId="0" xfId="0" applyNumberFormat="1" applyFill="1"/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64E2-963A-46E5-9A1B-050330DA4CA0}">
  <dimension ref="A1:K24"/>
  <sheetViews>
    <sheetView tabSelected="1" zoomScale="70" zoomScaleNormal="70" workbookViewId="0">
      <selection sqref="A1:H1"/>
    </sheetView>
  </sheetViews>
  <sheetFormatPr baseColWidth="10" defaultColWidth="9.140625" defaultRowHeight="15" x14ac:dyDescent="0.25"/>
  <cols>
    <col min="1" max="1" width="40.28515625" customWidth="1"/>
    <col min="2" max="2" width="21.5703125" customWidth="1"/>
    <col min="3" max="3" width="22.5703125" customWidth="1"/>
    <col min="4" max="4" width="20.42578125" customWidth="1"/>
    <col min="5" max="5" width="20.140625" customWidth="1"/>
    <col min="6" max="6" width="18" customWidth="1"/>
    <col min="7" max="7" width="22.85546875" customWidth="1"/>
    <col min="8" max="9" width="21.42578125" customWidth="1"/>
    <col min="10" max="10" width="29" customWidth="1"/>
    <col min="11" max="11" width="37.7109375" customWidth="1"/>
  </cols>
  <sheetData>
    <row r="1" spans="1:11" ht="21" x14ac:dyDescent="0.25">
      <c r="A1" s="26" t="s">
        <v>44</v>
      </c>
      <c r="B1" s="26"/>
      <c r="C1" s="26"/>
      <c r="D1" s="26"/>
      <c r="E1" s="26"/>
      <c r="F1" s="26"/>
      <c r="G1" s="26"/>
      <c r="H1" s="26"/>
      <c r="I1" s="2"/>
      <c r="J1" s="2"/>
      <c r="K1" s="2"/>
    </row>
    <row r="2" spans="1:11" x14ac:dyDescent="0.25">
      <c r="A2" s="27" t="s">
        <v>43</v>
      </c>
      <c r="B2" s="27"/>
      <c r="C2" s="27"/>
      <c r="D2" s="27"/>
      <c r="E2" s="27"/>
      <c r="F2" s="27"/>
      <c r="G2" s="27"/>
      <c r="H2" s="27"/>
      <c r="I2" s="3"/>
      <c r="J2" s="3"/>
      <c r="K2" s="3"/>
    </row>
    <row r="3" spans="1:11" x14ac:dyDescent="0.25">
      <c r="A3" s="4"/>
      <c r="B3" s="4"/>
      <c r="C3" s="4"/>
      <c r="D3" s="4"/>
      <c r="E3" s="4"/>
      <c r="F3" s="4"/>
      <c r="G3" s="4"/>
      <c r="H3" s="4"/>
    </row>
    <row r="4" spans="1:11" ht="15.75" x14ac:dyDescent="0.25">
      <c r="A4" s="25" t="s">
        <v>0</v>
      </c>
      <c r="B4" s="25"/>
      <c r="C4" s="25"/>
      <c r="D4" s="25"/>
      <c r="E4" s="25"/>
      <c r="F4" s="25"/>
      <c r="G4" s="25"/>
      <c r="H4" s="25"/>
      <c r="I4" s="5"/>
      <c r="J4" s="5"/>
      <c r="K4" s="5"/>
    </row>
    <row r="5" spans="1:11" x14ac:dyDescent="0.25">
      <c r="A5" s="6" t="s">
        <v>1</v>
      </c>
      <c r="B5" s="7" t="s">
        <v>2</v>
      </c>
      <c r="C5" s="28" t="s">
        <v>3</v>
      </c>
      <c r="D5" s="28"/>
      <c r="E5" s="28"/>
      <c r="F5" s="28"/>
      <c r="G5" s="28"/>
      <c r="H5" s="28"/>
      <c r="I5" s="8"/>
      <c r="J5" s="8"/>
      <c r="K5" s="8"/>
    </row>
    <row r="6" spans="1:11" x14ac:dyDescent="0.25">
      <c r="A6" s="9" t="s">
        <v>4</v>
      </c>
      <c r="B6" s="10">
        <v>0.15</v>
      </c>
      <c r="C6" s="24" t="s">
        <v>5</v>
      </c>
      <c r="D6" s="24"/>
      <c r="E6" s="24"/>
      <c r="F6" s="24"/>
      <c r="G6" s="24"/>
      <c r="H6" s="24"/>
      <c r="I6" s="11"/>
      <c r="J6" s="11"/>
      <c r="K6" s="11"/>
    </row>
    <row r="7" spans="1:11" x14ac:dyDescent="0.25">
      <c r="A7" s="9" t="s">
        <v>6</v>
      </c>
      <c r="B7" s="12">
        <v>24465</v>
      </c>
      <c r="C7" s="24" t="s">
        <v>7</v>
      </c>
      <c r="D7" s="24"/>
      <c r="E7" s="24"/>
      <c r="F7" s="24"/>
      <c r="G7" s="24"/>
      <c r="H7" s="24"/>
      <c r="I7" s="11"/>
      <c r="J7" s="11"/>
      <c r="K7" s="11"/>
    </row>
    <row r="8" spans="1:11" x14ac:dyDescent="0.25">
      <c r="A8" s="9" t="s">
        <v>8</v>
      </c>
      <c r="B8" s="10">
        <v>25</v>
      </c>
      <c r="C8" s="24" t="s">
        <v>9</v>
      </c>
      <c r="D8" s="24"/>
      <c r="E8" s="24"/>
      <c r="F8" s="24"/>
      <c r="G8" s="24"/>
      <c r="H8" s="24"/>
      <c r="I8" s="11"/>
      <c r="J8" s="11"/>
      <c r="K8" s="11"/>
    </row>
    <row r="9" spans="1:11" x14ac:dyDescent="0.25">
      <c r="A9" s="9" t="s">
        <v>10</v>
      </c>
      <c r="B9" s="10">
        <v>24</v>
      </c>
      <c r="C9" s="24" t="s">
        <v>9</v>
      </c>
      <c r="D9" s="24"/>
      <c r="E9" s="24"/>
      <c r="F9" s="24"/>
      <c r="G9" s="24"/>
      <c r="H9" s="24"/>
      <c r="I9" s="11"/>
      <c r="J9" s="11"/>
      <c r="K9" s="11"/>
    </row>
    <row r="10" spans="1:11" x14ac:dyDescent="0.25">
      <c r="A10" s="9" t="s">
        <v>11</v>
      </c>
      <c r="B10" s="10">
        <v>15</v>
      </c>
      <c r="C10" s="24" t="s">
        <v>12</v>
      </c>
      <c r="D10" s="24"/>
      <c r="E10" s="24"/>
      <c r="F10" s="24"/>
      <c r="G10" s="24"/>
      <c r="H10" s="24"/>
      <c r="I10" s="11"/>
      <c r="J10" s="11"/>
      <c r="K10" s="11"/>
    </row>
    <row r="11" spans="1:11" x14ac:dyDescent="0.25">
      <c r="A11" s="9" t="s">
        <v>13</v>
      </c>
      <c r="B11" s="10">
        <v>85</v>
      </c>
      <c r="C11" s="24" t="s">
        <v>12</v>
      </c>
      <c r="D11" s="24"/>
      <c r="E11" s="24"/>
      <c r="F11" s="24"/>
      <c r="G11" s="24"/>
      <c r="H11" s="24"/>
      <c r="I11" s="11"/>
      <c r="J11" s="11"/>
      <c r="K11" s="11"/>
    </row>
    <row r="12" spans="1:11" x14ac:dyDescent="0.25">
      <c r="A12" s="9" t="s">
        <v>14</v>
      </c>
      <c r="B12" s="13">
        <v>7.2580000000000002E-10</v>
      </c>
      <c r="C12" s="24" t="s">
        <v>15</v>
      </c>
      <c r="D12" s="24"/>
      <c r="E12" s="24"/>
      <c r="F12" s="24"/>
      <c r="G12" s="24"/>
      <c r="H12" s="24"/>
      <c r="I12" s="11"/>
      <c r="J12" s="11"/>
      <c r="K12" s="11"/>
    </row>
    <row r="13" spans="1:11" ht="15.75" x14ac:dyDescent="0.25">
      <c r="A13" s="25" t="s">
        <v>16</v>
      </c>
      <c r="B13" s="25"/>
      <c r="C13" s="25"/>
      <c r="D13" s="25"/>
      <c r="E13" s="25"/>
      <c r="F13" s="25"/>
      <c r="G13" s="25"/>
      <c r="H13" s="25"/>
      <c r="I13" s="5"/>
      <c r="J13" s="5"/>
      <c r="K13" s="5"/>
    </row>
    <row r="14" spans="1:11" x14ac:dyDescent="0.25">
      <c r="A14" s="9" t="s">
        <v>17</v>
      </c>
      <c r="B14" s="10">
        <f>B8+273.15</f>
        <v>298.14999999999998</v>
      </c>
      <c r="C14" s="24" t="s">
        <v>18</v>
      </c>
      <c r="D14" s="24"/>
      <c r="E14" s="24"/>
      <c r="F14" s="24"/>
      <c r="G14" s="24"/>
      <c r="H14" s="24"/>
      <c r="I14" s="11"/>
      <c r="J14" s="11"/>
      <c r="K14" s="11"/>
    </row>
    <row r="15" spans="1:11" x14ac:dyDescent="0.25">
      <c r="A15" s="9" t="s">
        <v>19</v>
      </c>
      <c r="B15" s="10">
        <f>B9+273.15</f>
        <v>297.14999999999998</v>
      </c>
      <c r="C15" s="24" t="s">
        <v>20</v>
      </c>
      <c r="D15" s="24"/>
      <c r="E15" s="24"/>
      <c r="F15" s="24"/>
      <c r="G15" s="24"/>
      <c r="H15" s="24"/>
      <c r="I15" s="11"/>
      <c r="J15" s="11"/>
      <c r="K15" s="11"/>
    </row>
    <row r="16" spans="1:11" x14ac:dyDescent="0.25">
      <c r="A16" s="14" t="s">
        <v>21</v>
      </c>
      <c r="B16" s="15">
        <f>B7*(B15/B14)</f>
        <v>24382.943987925541</v>
      </c>
      <c r="C16" s="24" t="s">
        <v>22</v>
      </c>
      <c r="D16" s="24"/>
      <c r="E16" s="24"/>
      <c r="F16" s="24"/>
      <c r="G16" s="24"/>
      <c r="H16" s="24"/>
      <c r="I16" s="11"/>
      <c r="J16" s="11"/>
      <c r="K16" s="11"/>
    </row>
    <row r="17" spans="1:11" x14ac:dyDescent="0.25">
      <c r="A17" s="9" t="s">
        <v>23</v>
      </c>
      <c r="B17" s="16">
        <f>B16/1000</f>
        <v>24.38294398792554</v>
      </c>
      <c r="C17" s="24"/>
      <c r="D17" s="24"/>
      <c r="E17" s="24"/>
      <c r="F17" s="24"/>
      <c r="G17" s="24"/>
      <c r="H17" s="24"/>
      <c r="I17" s="11"/>
      <c r="J17" s="11"/>
      <c r="K17" s="11"/>
    </row>
    <row r="18" spans="1:11" ht="15.75" x14ac:dyDescent="0.25">
      <c r="A18" s="25" t="s">
        <v>24</v>
      </c>
      <c r="B18" s="25"/>
      <c r="C18" s="25"/>
      <c r="D18" s="25"/>
      <c r="E18" s="25"/>
      <c r="F18" s="25"/>
      <c r="G18" s="25"/>
      <c r="H18" s="25"/>
      <c r="I18" s="5"/>
      <c r="J18" s="5"/>
      <c r="K18" s="5"/>
    </row>
    <row r="19" spans="1:11" x14ac:dyDescent="0.25">
      <c r="A19" s="9" t="s">
        <v>25</v>
      </c>
      <c r="B19" s="10">
        <f>B10+B11</f>
        <v>100</v>
      </c>
      <c r="C19" s="24" t="s">
        <v>26</v>
      </c>
      <c r="D19" s="24"/>
      <c r="E19" s="24"/>
      <c r="F19" s="24"/>
      <c r="G19" s="24"/>
      <c r="H19" s="24"/>
      <c r="I19" s="11"/>
      <c r="J19" s="11"/>
      <c r="K19" s="11"/>
    </row>
    <row r="20" spans="1:11" x14ac:dyDescent="0.25">
      <c r="A20" s="14" t="s">
        <v>27</v>
      </c>
      <c r="B20" s="17">
        <f>B19/B16</f>
        <v>4.1012274830110797E-3</v>
      </c>
      <c r="C20" s="24" t="s">
        <v>28</v>
      </c>
      <c r="D20" s="24"/>
      <c r="E20" s="24"/>
      <c r="F20" s="24"/>
      <c r="G20" s="24"/>
      <c r="H20" s="24"/>
      <c r="I20" s="11"/>
      <c r="J20" s="11"/>
      <c r="K20" s="11"/>
    </row>
    <row r="21" spans="1:11" ht="15.75" x14ac:dyDescent="0.25">
      <c r="A21" s="25" t="s">
        <v>29</v>
      </c>
      <c r="B21" s="25"/>
      <c r="C21" s="25"/>
      <c r="D21" s="25"/>
      <c r="E21" s="25"/>
      <c r="F21" s="25"/>
      <c r="G21" s="25"/>
      <c r="H21" s="25"/>
      <c r="I21" s="5"/>
      <c r="J21" s="5"/>
      <c r="K21" s="5"/>
    </row>
    <row r="22" spans="1:11" x14ac:dyDescent="0.25">
      <c r="A22" s="18" t="s">
        <v>30</v>
      </c>
      <c r="B22" s="18" t="s">
        <v>31</v>
      </c>
      <c r="C22" s="18" t="s">
        <v>32</v>
      </c>
      <c r="D22" s="18" t="s">
        <v>33</v>
      </c>
      <c r="E22" s="18" t="s">
        <v>34</v>
      </c>
      <c r="F22" s="18" t="s">
        <v>35</v>
      </c>
      <c r="G22" s="18" t="s">
        <v>36</v>
      </c>
      <c r="H22" s="18" t="s">
        <v>37</v>
      </c>
      <c r="I22" s="18" t="s">
        <v>38</v>
      </c>
      <c r="J22" s="18" t="s">
        <v>39</v>
      </c>
      <c r="K22" s="18" t="s">
        <v>40</v>
      </c>
    </row>
    <row r="23" spans="1:11" x14ac:dyDescent="0.25">
      <c r="A23" s="19" t="s">
        <v>41</v>
      </c>
      <c r="B23" s="1">
        <v>7.2499999999999998E-10</v>
      </c>
      <c r="C23" s="1">
        <f>B6/B23</f>
        <v>206896551.72413793</v>
      </c>
      <c r="D23" s="1">
        <v>1.5054E-9</v>
      </c>
      <c r="E23" s="20">
        <f>B20*C23*D23</f>
        <v>1.2773767971568715E-3</v>
      </c>
      <c r="F23" s="20">
        <f t="shared" ref="F23:F24" si="0">E23*1000</f>
        <v>1.2773767971568715</v>
      </c>
      <c r="G23">
        <v>0.505</v>
      </c>
      <c r="H23" s="21">
        <f>F23/G23</f>
        <v>2.5294590042710325</v>
      </c>
      <c r="I23" s="22">
        <f>G23-(G23*21.4%)</f>
        <v>0.39693000000000001</v>
      </c>
      <c r="J23" s="23">
        <f t="shared" ref="J23" si="1">F23/I23</f>
        <v>3.2181412268079295</v>
      </c>
      <c r="K23" s="23">
        <f>J23-H24</f>
        <v>2.9911181803937028</v>
      </c>
    </row>
    <row r="24" spans="1:11" x14ac:dyDescent="0.25">
      <c r="A24" s="19" t="s">
        <v>42</v>
      </c>
      <c r="B24" s="1">
        <v>7.4500000000000001E-10</v>
      </c>
      <c r="C24" s="1">
        <f>B6/B24</f>
        <v>201342281.87919462</v>
      </c>
      <c r="D24" s="1">
        <v>2.5293500000000002E-10</v>
      </c>
      <c r="E24" s="20">
        <f>B20*C24*D24</f>
        <v>2.0886120270108873E-4</v>
      </c>
      <c r="F24" s="20">
        <f t="shared" si="0"/>
        <v>0.20886120270108874</v>
      </c>
      <c r="G24">
        <v>0.92</v>
      </c>
      <c r="H24" s="21">
        <f>F24/G24</f>
        <v>0.22702304641422688</v>
      </c>
      <c r="I24" s="22">
        <v>0</v>
      </c>
      <c r="J24" s="22">
        <v>0</v>
      </c>
      <c r="K24" s="22">
        <v>0</v>
      </c>
    </row>
  </sheetData>
  <mergeCells count="20">
    <mergeCell ref="A13:H13"/>
    <mergeCell ref="A1:H1"/>
    <mergeCell ref="A2:H2"/>
    <mergeCell ref="A4:H4"/>
    <mergeCell ref="C5:H5"/>
    <mergeCell ref="C6:H6"/>
    <mergeCell ref="C7:H7"/>
    <mergeCell ref="C8:H8"/>
    <mergeCell ref="C9:H9"/>
    <mergeCell ref="C10:H10"/>
    <mergeCell ref="C11:H11"/>
    <mergeCell ref="C12:H12"/>
    <mergeCell ref="C20:H20"/>
    <mergeCell ref="A21:H21"/>
    <mergeCell ref="C14:H14"/>
    <mergeCell ref="C15:H15"/>
    <mergeCell ref="C16:H16"/>
    <mergeCell ref="C17:H17"/>
    <mergeCell ref="A18:H18"/>
    <mergeCell ref="C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GUL</dc:creator>
  <cp:lastModifiedBy>Rodrigo Jeronimo</cp:lastModifiedBy>
  <dcterms:created xsi:type="dcterms:W3CDTF">2015-06-05T18:17:20Z</dcterms:created>
  <dcterms:modified xsi:type="dcterms:W3CDTF">2026-09-21T15:20:07Z</dcterms:modified>
</cp:coreProperties>
</file>