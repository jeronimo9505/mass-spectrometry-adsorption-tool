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4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jeron\Downloads\shayan\"/>
    </mc:Choice>
  </mc:AlternateContent>
  <xr:revisionPtr revIDLastSave="0" documentId="8_{5A701195-61D2-4533-84B1-E49667D2E5C8}" xr6:coauthVersionLast="47" xr6:coauthVersionMax="47" xr10:uidLastSave="{00000000-0000-0000-0000-000000000000}"/>
  <bookViews>
    <workbookView xWindow="-120" yWindow="-120" windowWidth="29040" windowHeight="15720" xr2:uid="{6472EF1E-6890-4A8B-BF85-F50A157E1F1B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F34" i="1" l="1"/>
  <c r="F45" i="1"/>
  <c r="F44" i="1"/>
  <c r="F43" i="1"/>
  <c r="D39" i="1"/>
  <c r="D38" i="1"/>
  <c r="B45" i="1" s="1"/>
  <c r="D37" i="1"/>
  <c r="D36" i="1"/>
  <c r="B44" i="1" s="1"/>
  <c r="D35" i="1"/>
  <c r="D34" i="1"/>
  <c r="B43" i="1" s="1"/>
  <c r="B28" i="1"/>
  <c r="B24" i="1"/>
  <c r="B23" i="1"/>
  <c r="B20" i="1"/>
  <c r="B31" i="1" s="1"/>
  <c r="B9" i="1"/>
  <c r="B10" i="1" s="1"/>
  <c r="B8" i="1"/>
  <c r="B25" i="1" l="1"/>
  <c r="B29" i="1"/>
  <c r="B26" i="1"/>
  <c r="F38" i="1" l="1"/>
  <c r="G38" i="1" s="1"/>
  <c r="F36" i="1"/>
  <c r="G36" i="1" s="1"/>
  <c r="F39" i="1"/>
  <c r="G39" i="1" s="1"/>
  <c r="G34" i="1"/>
  <c r="F37" i="1"/>
  <c r="G37" i="1" s="1"/>
  <c r="F35" i="1"/>
  <c r="G35" i="1" s="1"/>
  <c r="I34" i="1" l="1"/>
  <c r="E43" i="1" s="1"/>
  <c r="H34" i="1"/>
  <c r="D43" i="1" s="1"/>
  <c r="C43" i="1"/>
  <c r="H36" i="1"/>
  <c r="D44" i="1" s="1"/>
  <c r="I36" i="1"/>
  <c r="E44" i="1" s="1"/>
  <c r="C44" i="1"/>
  <c r="G43" i="1"/>
  <c r="I35" i="1"/>
  <c r="I43" i="1" s="1"/>
  <c r="I46" i="1" s="1"/>
  <c r="H35" i="1"/>
  <c r="H43" i="1" s="1"/>
  <c r="G44" i="1"/>
  <c r="I37" i="1"/>
  <c r="I44" i="1" s="1"/>
  <c r="H37" i="1"/>
  <c r="H44" i="1" s="1"/>
  <c r="I39" i="1"/>
  <c r="I45" i="1" s="1"/>
  <c r="H39" i="1"/>
  <c r="H45" i="1" s="1"/>
  <c r="G45" i="1"/>
  <c r="I38" i="1"/>
  <c r="E45" i="1" s="1"/>
  <c r="C45" i="1"/>
  <c r="H38" i="1"/>
  <c r="D45" i="1" s="1"/>
  <c r="D46" i="1" l="1"/>
  <c r="H46" i="1"/>
  <c r="E46" i="1"/>
</calcChain>
</file>

<file path=xl/sharedStrings.xml><?xml version="1.0" encoding="utf-8"?>
<sst xmlns="http://purl.oclc.org/ooxml/spreadsheetml/main" count="95" uniqueCount="80">
  <si>
    <t>CO₂ ADSORPTION–DESORPTION — COMPLETE CALCULATION WORKFLOW_Shayan</t>
  </si>
  <si>
    <t>Material: Zeolite Powder Rapeat (15-10-2026) |   m/z = 44   |   Three consecutive adsorption–desorption cycles   |   Step-by-step, all-in-one sheet</t>
  </si>
  <si>
    <t>1. EXPERIMENTAL INPUTS  (edit yellow cells — everything below updates automatically)</t>
  </si>
  <si>
    <t>Tunning Cavity</t>
  </si>
  <si>
    <t>Parameter</t>
  </si>
  <si>
    <t>Notes</t>
  </si>
  <si>
    <t>Frequency</t>
  </si>
  <si>
    <t>2.461 (GHz)</t>
  </si>
  <si>
    <t>Sample mass (mg)</t>
  </si>
  <si>
    <t>Weighed sample (1.5cm height in the reactor)</t>
  </si>
  <si>
    <t>2461 (MHz)</t>
  </si>
  <si>
    <t>Sample mass (g)</t>
  </si>
  <si>
    <t>Formula: mg / 1000</t>
  </si>
  <si>
    <t>Stub Tuner 1</t>
  </si>
  <si>
    <t>11 (59)</t>
  </si>
  <si>
    <t>Sample mass (mg) without water (21.4%)</t>
  </si>
  <si>
    <t>Remaining (dry) mass</t>
  </si>
  <si>
    <t>Stub Tuner 2</t>
  </si>
  <si>
    <t>10 (28)</t>
  </si>
  <si>
    <t>Sample mass (g) without water (21.4%)</t>
  </si>
  <si>
    <t>Stub Tuner 3</t>
  </si>
  <si>
    <t>4 (08)</t>
  </si>
  <si>
    <t>CO₂ feed concentration, C₀</t>
  </si>
  <si>
    <t>mole fraction</t>
  </si>
  <si>
    <t>Molar volume at 25°C, Vₘ,25</t>
  </si>
  <si>
    <t>mL/mol</t>
  </si>
  <si>
    <t>Reference temperature, T₁</t>
  </si>
  <si>
    <t>°C</t>
  </si>
  <si>
    <t>Experimental temperature, T₂</t>
  </si>
  <si>
    <t>CO₂ gas flow</t>
  </si>
  <si>
    <t>mL/min</t>
  </si>
  <si>
    <t>N₂ gas flow</t>
  </si>
  <si>
    <t>Baseline signal, S_baseline Cycle 1</t>
  </si>
  <si>
    <t>A, at m/z = 44</t>
  </si>
  <si>
    <t>Baseline signal, S_baseline Cycle 2</t>
  </si>
  <si>
    <t>Baseline signal, S_baseline Cycle 3</t>
  </si>
  <si>
    <t xml:space="preserve">Average Baseline signal, S_baseline </t>
  </si>
  <si>
    <t>2. MOLAR VOLUME CORRECTION (25°C → 24°C):   Vₘ,24 = Vₘ,25 × (T₂/T₁)</t>
  </si>
  <si>
    <t>T₁ (K)</t>
  </si>
  <si>
    <t>Formula: T₁(°C) + 273.15</t>
  </si>
  <si>
    <t>T₂ (K)</t>
  </si>
  <si>
    <t>Formula: T₂(°C) + 273.15</t>
  </si>
  <si>
    <t>Vₘ,24 (mL/mol)</t>
  </si>
  <si>
    <t>Formula: Vₘ,25 × (T₂ / T₁)</t>
  </si>
  <si>
    <t>Vₘ,24 (L/mol)</t>
  </si>
  <si>
    <t>3. TOTAL MOLAR FLOW RATE:   ntotal = F_total / Vₘ,24</t>
  </si>
  <si>
    <t>F_total (mL/min)</t>
  </si>
  <si>
    <t>Formula: F(CO₂) + F(N₂)</t>
  </si>
  <si>
    <t>ntotal (mol/min)</t>
  </si>
  <si>
    <t>Formula: F_total / Vₘ,24</t>
  </si>
  <si>
    <t>4. CALIBRATION FACTOR:   k = C₀ / S_baseline</t>
  </si>
  <si>
    <t>k (A⁻¹)</t>
  </si>
  <si>
    <t xml:space="preserve">Formula: C₀ / S_baseline — used for ALL cycles below </t>
  </si>
  <si>
    <t>5. MASTER EQUATION FOR EVERY CYCLE:   nCO₂ (mol) = ntotal × k × |A|   →  ×1000 = mmol   →  /mass(g) = q (mmol/g)</t>
  </si>
  <si>
    <t>Cycle</t>
  </si>
  <si>
    <t>Step</t>
  </si>
  <si>
    <t>Origin Area (A·min)</t>
  </si>
  <si>
    <t>|A| (A·min)</t>
  </si>
  <si>
    <t>nCO₂ (mol)</t>
  </si>
  <si>
    <t>nCO₂ (mmol)</t>
  </si>
  <si>
    <t>q (mmol/g) 100% Mass</t>
  </si>
  <si>
    <t>q (mmol/g) (21.4% Mass loss)</t>
  </si>
  <si>
    <t>1st</t>
  </si>
  <si>
    <t>Adsorption</t>
  </si>
  <si>
    <t>Desorption</t>
  </si>
  <si>
    <t>2nd</t>
  </si>
  <si>
    <t>3rd</t>
  </si>
  <si>
    <t>FINAL RESULTS — ALL THREE CYCLES</t>
  </si>
  <si>
    <t>Ads. area (A·min)</t>
  </si>
  <si>
    <t>Ads. CO₂ (mmol)</t>
  </si>
  <si>
    <t>Ads. q (mmol/g)</t>
  </si>
  <si>
    <t>Ads. q (mmol/g) 78.6%</t>
  </si>
  <si>
    <t>Des. area (A·min)</t>
  </si>
  <si>
    <t>Des. CO₂ (mmol)</t>
  </si>
  <si>
    <t>Des. q (mmol/g)</t>
  </si>
  <si>
    <t>Des. q (mmol/g)78.6%</t>
  </si>
  <si>
    <t>1st (100ml/min)</t>
  </si>
  <si>
    <t>2nd (100ml/min)</t>
  </si>
  <si>
    <t>3rd (100ml/min)</t>
  </si>
  <si>
    <t>Average Ads and Des at (100 ml/min)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</si>
</sst>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000"/>
    <numFmt numFmtId="166" formatCode="0.0E+00"/>
    <numFmt numFmtId="167" formatCode="0.000000E+00"/>
    <numFmt numFmtId="168" formatCode="0.000"/>
    <numFmt numFmtId="169" formatCode="0.0000E+00"/>
    <numFmt numFmtId="170" formatCode="0.000E+00"/>
  </numFmts>
  <fonts count="9" x14ac:knownFonts="1">
    <font>
      <sz val="11"/>
      <color rgb="FF000000"/>
      <name val="Aptos Narrow"/>
      <family val="2"/>
    </font>
    <font>
      <b/>
      <sz val="16"/>
      <color rgb="FFFFFFFF"/>
      <name val="Times New Roman"/>
      <family val="1"/>
    </font>
    <font>
      <sz val="11"/>
      <color rgb="FF000000"/>
      <name val="Times New Roman"/>
      <family val="1"/>
    </font>
    <font>
      <i/>
      <sz val="11"/>
      <color rgb="FF1F4E78"/>
      <name val="Times New Roman"/>
      <family val="1"/>
    </font>
    <font>
      <b/>
      <sz val="12"/>
      <color rgb="FFFFFFFF"/>
      <name val="Times New Roman"/>
      <family val="1"/>
    </font>
    <font>
      <b/>
      <sz val="14"/>
      <color rgb="FF000000"/>
      <name val="Calibri"/>
      <family val="2"/>
    </font>
    <font>
      <b/>
      <sz val="11"/>
      <color rgb="FF000000"/>
      <name val="Times New Roman"/>
      <family val="1"/>
    </font>
    <font>
      <b/>
      <sz val="11"/>
      <color rgb="FF006100"/>
      <name val="Times New Roman"/>
      <family val="1"/>
    </font>
    <font>
      <b/>
      <sz val="11"/>
      <color rgb="FFFFFFFF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196B24"/>
        <bgColor rgb="FF196B24"/>
      </patternFill>
    </fill>
    <fill>
      <patternFill patternType="solid">
        <fgColor rgb="FFD9E1F2"/>
        <bgColor rgb="FFD9E1F2"/>
      </patternFill>
    </fill>
    <fill>
      <patternFill patternType="solid">
        <fgColor rgb="FFC1F0C8"/>
        <bgColor rgb="FFC1F0C8"/>
      </patternFill>
    </fill>
    <fill>
      <patternFill patternType="solid">
        <fgColor rgb="FFE2EFDA"/>
        <bgColor rgb="FFE2EFDA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</fills>
  <borders count="2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1" xfId="0" applyFont="1" applyBorder="1"/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/>
    <xf numFmtId="11" fontId="2" fillId="0" borderId="1" xfId="0" applyNumberFormat="1" applyFont="1" applyBorder="1"/>
    <xf numFmtId="0" fontId="6" fillId="0" borderId="1" xfId="0" applyFont="1" applyBorder="1" applyAlignment="1">
      <alignment horizontal="left" vertical="center" wrapText="1"/>
    </xf>
    <xf numFmtId="11" fontId="6" fillId="7" borderId="1" xfId="0" applyNumberFormat="1" applyFont="1" applyFill="1" applyBorder="1"/>
    <xf numFmtId="2" fontId="2" fillId="0" borderId="1" xfId="0" applyNumberFormat="1" applyFont="1" applyBorder="1" applyAlignment="1">
      <alignment horizontal="center" vertical="center" wrapText="1"/>
    </xf>
    <xf numFmtId="164" fontId="7" fillId="8" borderId="1" xfId="0" applyNumberFormat="1" applyFont="1" applyFill="1" applyBorder="1" applyAlignment="1">
      <alignment horizontal="center" vertical="center" wrapText="1"/>
    </xf>
    <xf numFmtId="165" fontId="7" fillId="8" borderId="1" xfId="0" applyNumberFormat="1" applyFont="1" applyFill="1" applyBorder="1" applyAlignment="1">
      <alignment horizontal="center" vertical="center" wrapText="1"/>
    </xf>
    <xf numFmtId="166" fontId="7" fillId="8" borderId="1" xfId="0" applyNumberFormat="1" applyFont="1" applyFill="1" applyBorder="1" applyAlignment="1">
      <alignment horizontal="center" vertical="center" wrapText="1"/>
    </xf>
    <xf numFmtId="11" fontId="7" fillId="8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1" fontId="2" fillId="0" borderId="1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168" fontId="7" fillId="8" borderId="1" xfId="0" applyNumberFormat="1" applyFont="1" applyFill="1" applyBorder="1" applyAlignment="1">
      <alignment horizontal="center" vertical="center" wrapText="1"/>
    </xf>
    <xf numFmtId="168" fontId="2" fillId="3" borderId="1" xfId="0" applyNumberFormat="1" applyFont="1" applyFill="1" applyBorder="1" applyAlignment="1">
      <alignment horizontal="center"/>
    </xf>
    <xf numFmtId="169" fontId="0" fillId="0" borderId="0" xfId="0" applyNumberFormat="1"/>
    <xf numFmtId="168" fontId="2" fillId="0" borderId="1" xfId="0" applyNumberFormat="1" applyFont="1" applyBorder="1" applyAlignment="1">
      <alignment horizontal="center" vertical="center" wrapText="1"/>
    </xf>
    <xf numFmtId="168" fontId="7" fillId="3" borderId="1" xfId="0" applyNumberFormat="1" applyFont="1" applyFill="1" applyBorder="1" applyAlignment="1">
      <alignment horizontal="center" vertical="center" wrapText="1"/>
    </xf>
    <xf numFmtId="170" fontId="2" fillId="0" borderId="1" xfId="0" applyNumberFormat="1" applyFont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/>
    </xf>
    <xf numFmtId="2" fontId="7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168" fontId="2" fillId="0" borderId="1" xfId="0" applyNumberFormat="1" applyFont="1" applyBorder="1"/>
    <xf numFmtId="2" fontId="8" fillId="9" borderId="1" xfId="0" applyNumberFormat="1" applyFont="1" applyFill="1" applyBorder="1" applyAlignment="1">
      <alignment horizontal="center"/>
    </xf>
    <xf numFmtId="2" fontId="8" fillId="10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left" vertical="center" wrapText="1"/>
    </xf>
    <xf numFmtId="11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BE62-47B4-4569-9EB0-115D1DA00886}">
  <dimension ref="A2:M46"/>
  <sheetViews>
    <sheetView tabSelected="1" topLeftCell="A18" workbookViewId="0">
      <selection activeCell="G35" sqref="G35"/>
    </sheetView>
  </sheetViews>
  <sheetFormatPr baseColWidth="10" defaultColWidth="9.140625" defaultRowHeight="15" x14ac:dyDescent="0.25"/>
  <cols>
    <col min="1" max="1" width="46.5703125" customWidth="1"/>
    <col min="2" max="2" width="25.85546875" customWidth="1"/>
    <col min="3" max="3" width="25.5703125" customWidth="1"/>
    <col min="4" max="4" width="18" customWidth="1"/>
    <col min="5" max="5" width="30.140625" customWidth="1"/>
    <col min="6" max="7" width="18" customWidth="1"/>
    <col min="8" max="8" width="27.28515625" customWidth="1"/>
    <col min="9" max="9" width="33.140625" customWidth="1"/>
    <col min="10" max="11" width="8.7109375" customWidth="1"/>
    <col min="12" max="12" width="10" bestFit="1" customWidth="1"/>
    <col min="13" max="13" width="8.7109375" customWidth="1"/>
  </cols>
  <sheetData>
    <row r="2" spans="1:13" ht="20.25" x14ac:dyDescent="0.25">
      <c r="A2" s="35" t="s">
        <v>0</v>
      </c>
      <c r="B2" s="35"/>
      <c r="C2" s="35"/>
      <c r="D2" s="35"/>
      <c r="E2" s="35"/>
      <c r="F2" s="35"/>
      <c r="G2" s="35"/>
      <c r="H2" s="35"/>
      <c r="I2" s="1"/>
    </row>
    <row r="3" spans="1:13" x14ac:dyDescent="0.25">
      <c r="A3" s="36" t="s">
        <v>1</v>
      </c>
      <c r="B3" s="36"/>
      <c r="C3" s="36"/>
      <c r="D3" s="36"/>
      <c r="E3" s="36"/>
      <c r="F3" s="36"/>
      <c r="G3" s="36"/>
      <c r="H3" s="36"/>
      <c r="I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</row>
    <row r="5" spans="1:13" ht="18.75" x14ac:dyDescent="0.3">
      <c r="A5" s="30" t="s">
        <v>2</v>
      </c>
      <c r="B5" s="30"/>
      <c r="C5" s="30"/>
      <c r="D5" s="30"/>
      <c r="E5" s="30"/>
      <c r="F5" s="30"/>
      <c r="G5" s="30"/>
      <c r="H5" s="30"/>
      <c r="I5" s="1"/>
      <c r="J5" s="37" t="s">
        <v>3</v>
      </c>
      <c r="K5" s="37"/>
      <c r="L5" s="37"/>
      <c r="M5" s="37"/>
    </row>
    <row r="6" spans="1:13" x14ac:dyDescent="0.25">
      <c r="A6" s="2" t="s">
        <v>4</v>
      </c>
      <c r="B6" s="3"/>
      <c r="C6" s="38" t="s">
        <v>5</v>
      </c>
      <c r="D6" s="38"/>
      <c r="E6" s="38"/>
      <c r="F6" s="38"/>
      <c r="G6" s="38"/>
      <c r="H6" s="38"/>
      <c r="I6" s="1"/>
      <c r="J6" s="34" t="s">
        <v>6</v>
      </c>
      <c r="K6" s="34"/>
      <c r="L6" s="34" t="s">
        <v>7</v>
      </c>
      <c r="M6" s="34"/>
    </row>
    <row r="7" spans="1:13" x14ac:dyDescent="0.25">
      <c r="A7" s="4" t="s">
        <v>8</v>
      </c>
      <c r="B7" s="1">
        <v>620</v>
      </c>
      <c r="C7" s="32" t="s">
        <v>9</v>
      </c>
      <c r="D7" s="32"/>
      <c r="E7" s="32"/>
      <c r="F7" s="32"/>
      <c r="G7" s="32"/>
      <c r="H7" s="32"/>
      <c r="I7" s="1"/>
      <c r="J7" s="34" t="s">
        <v>6</v>
      </c>
      <c r="K7" s="34"/>
      <c r="L7" s="34" t="s">
        <v>10</v>
      </c>
      <c r="M7" s="34"/>
    </row>
    <row r="8" spans="1:13" x14ac:dyDescent="0.25">
      <c r="A8" s="4" t="s">
        <v>11</v>
      </c>
      <c r="B8" s="1">
        <f>B7/1000</f>
        <v>0.62</v>
      </c>
      <c r="C8" s="32" t="s">
        <v>12</v>
      </c>
      <c r="D8" s="32"/>
      <c r="E8" s="32"/>
      <c r="F8" s="32"/>
      <c r="G8" s="32"/>
      <c r="H8" s="32"/>
      <c r="I8" s="1"/>
      <c r="J8" s="34" t="s">
        <v>13</v>
      </c>
      <c r="K8" s="34"/>
      <c r="L8" s="34" t="s">
        <v>14</v>
      </c>
      <c r="M8" s="34"/>
    </row>
    <row r="9" spans="1:13" x14ac:dyDescent="0.25">
      <c r="A9" s="5" t="s">
        <v>15</v>
      </c>
      <c r="B9" s="6">
        <f>B7-(B7*21.4%)</f>
        <v>487.32</v>
      </c>
      <c r="C9" s="32" t="s">
        <v>16</v>
      </c>
      <c r="D9" s="32"/>
      <c r="E9" s="32"/>
      <c r="F9" s="32"/>
      <c r="G9" s="32"/>
      <c r="H9" s="32"/>
      <c r="I9" s="1"/>
      <c r="J9" s="34" t="s">
        <v>17</v>
      </c>
      <c r="K9" s="34"/>
      <c r="L9" s="34" t="s">
        <v>18</v>
      </c>
      <c r="M9" s="34"/>
    </row>
    <row r="10" spans="1:13" x14ac:dyDescent="0.25">
      <c r="A10" s="5" t="s">
        <v>19</v>
      </c>
      <c r="B10" s="6">
        <f>B9/1000</f>
        <v>0.48731999999999998</v>
      </c>
      <c r="C10" s="32" t="s">
        <v>16</v>
      </c>
      <c r="D10" s="32"/>
      <c r="E10" s="32"/>
      <c r="F10" s="32"/>
      <c r="G10" s="32"/>
      <c r="H10" s="32"/>
      <c r="I10" s="1"/>
      <c r="J10" s="34" t="s">
        <v>20</v>
      </c>
      <c r="K10" s="34"/>
      <c r="L10" s="34" t="s">
        <v>21</v>
      </c>
      <c r="M10" s="34"/>
    </row>
    <row r="11" spans="1:13" x14ac:dyDescent="0.25">
      <c r="A11" s="4" t="s">
        <v>22</v>
      </c>
      <c r="B11" s="1">
        <v>0.15</v>
      </c>
      <c r="C11" s="32" t="s">
        <v>23</v>
      </c>
      <c r="D11" s="32"/>
      <c r="E11" s="32"/>
      <c r="F11" s="32"/>
      <c r="G11" s="32"/>
      <c r="H11" s="32"/>
      <c r="I11" s="1"/>
    </row>
    <row r="12" spans="1:13" x14ac:dyDescent="0.25">
      <c r="A12" s="4" t="s">
        <v>24</v>
      </c>
      <c r="B12" s="1">
        <v>24465</v>
      </c>
      <c r="C12" s="32" t="s">
        <v>25</v>
      </c>
      <c r="D12" s="32"/>
      <c r="E12" s="32"/>
      <c r="F12" s="32"/>
      <c r="G12" s="32"/>
      <c r="H12" s="32"/>
      <c r="I12" s="1"/>
    </row>
    <row r="13" spans="1:13" x14ac:dyDescent="0.25">
      <c r="A13" s="4" t="s">
        <v>26</v>
      </c>
      <c r="B13" s="1">
        <v>25</v>
      </c>
      <c r="C13" s="32" t="s">
        <v>27</v>
      </c>
      <c r="D13" s="32"/>
      <c r="E13" s="32"/>
      <c r="F13" s="32"/>
      <c r="G13" s="32"/>
      <c r="H13" s="32"/>
      <c r="I13" s="1"/>
    </row>
    <row r="14" spans="1:13" x14ac:dyDescent="0.25">
      <c r="A14" s="4" t="s">
        <v>28</v>
      </c>
      <c r="B14" s="1">
        <v>24</v>
      </c>
      <c r="C14" s="32" t="s">
        <v>27</v>
      </c>
      <c r="D14" s="32"/>
      <c r="E14" s="32"/>
      <c r="F14" s="32"/>
      <c r="G14" s="32"/>
      <c r="H14" s="32"/>
      <c r="I14" s="1"/>
    </row>
    <row r="15" spans="1:13" x14ac:dyDescent="0.25">
      <c r="A15" s="4" t="s">
        <v>29</v>
      </c>
      <c r="B15" s="1">
        <v>15</v>
      </c>
      <c r="C15" s="32" t="s">
        <v>30</v>
      </c>
      <c r="D15" s="32"/>
      <c r="E15" s="32"/>
      <c r="F15" s="32"/>
      <c r="G15" s="32"/>
      <c r="H15" s="32"/>
      <c r="I15" s="1"/>
    </row>
    <row r="16" spans="1:13" x14ac:dyDescent="0.25">
      <c r="A16" s="4" t="s">
        <v>31</v>
      </c>
      <c r="B16" s="1">
        <v>85</v>
      </c>
      <c r="C16" s="32" t="s">
        <v>30</v>
      </c>
      <c r="D16" s="32"/>
      <c r="E16" s="32"/>
      <c r="F16" s="32"/>
      <c r="G16" s="32"/>
      <c r="H16" s="32"/>
      <c r="I16" s="1"/>
    </row>
    <row r="17" spans="1:9" x14ac:dyDescent="0.25">
      <c r="A17" s="4" t="s">
        <v>32</v>
      </c>
      <c r="B17" s="7">
        <v>7.8129999999999998E-10</v>
      </c>
      <c r="C17" s="32" t="s">
        <v>33</v>
      </c>
      <c r="D17" s="32"/>
      <c r="E17" s="32"/>
      <c r="F17" s="32"/>
      <c r="G17" s="32"/>
      <c r="H17" s="32"/>
      <c r="I17" s="1"/>
    </row>
    <row r="18" spans="1:9" x14ac:dyDescent="0.25">
      <c r="A18" s="4" t="s">
        <v>34</v>
      </c>
      <c r="B18" s="7">
        <v>7.7610000000000004E-10</v>
      </c>
      <c r="C18" s="32" t="s">
        <v>33</v>
      </c>
      <c r="D18" s="32"/>
      <c r="E18" s="32"/>
      <c r="F18" s="32"/>
      <c r="G18" s="32"/>
      <c r="H18" s="32"/>
      <c r="I18" s="1"/>
    </row>
    <row r="19" spans="1:9" x14ac:dyDescent="0.25">
      <c r="A19" s="4" t="s">
        <v>35</v>
      </c>
      <c r="B19" s="7">
        <v>7.6039999999999998E-10</v>
      </c>
      <c r="C19" s="32" t="s">
        <v>33</v>
      </c>
      <c r="D19" s="32"/>
      <c r="E19" s="32"/>
      <c r="F19" s="32"/>
      <c r="G19" s="32"/>
      <c r="H19" s="32"/>
      <c r="I19" s="1"/>
    </row>
    <row r="20" spans="1:9" x14ac:dyDescent="0.25">
      <c r="A20" s="8" t="s">
        <v>36</v>
      </c>
      <c r="B20" s="9">
        <f>AVERAGE(B17:B19)</f>
        <v>7.726E-10</v>
      </c>
      <c r="C20" s="32" t="s">
        <v>33</v>
      </c>
      <c r="D20" s="32"/>
      <c r="E20" s="32"/>
      <c r="F20" s="32"/>
      <c r="G20" s="32"/>
      <c r="H20" s="32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15.75" x14ac:dyDescent="0.25">
      <c r="A22" s="30" t="s">
        <v>37</v>
      </c>
      <c r="B22" s="30"/>
      <c r="C22" s="30"/>
      <c r="D22" s="30"/>
      <c r="E22" s="30"/>
      <c r="F22" s="30"/>
      <c r="G22" s="30"/>
      <c r="H22" s="30"/>
      <c r="I22" s="1"/>
    </row>
    <row r="23" spans="1:9" x14ac:dyDescent="0.25">
      <c r="A23" s="4" t="s">
        <v>38</v>
      </c>
      <c r="B23" s="10">
        <f>B13+273.15</f>
        <v>298.14999999999998</v>
      </c>
      <c r="C23" s="32" t="s">
        <v>39</v>
      </c>
      <c r="D23" s="32"/>
      <c r="E23" s="32"/>
      <c r="F23" s="32"/>
      <c r="G23" s="32"/>
      <c r="H23" s="32"/>
      <c r="I23" s="1"/>
    </row>
    <row r="24" spans="1:9" x14ac:dyDescent="0.25">
      <c r="A24" s="4" t="s">
        <v>40</v>
      </c>
      <c r="B24" s="10">
        <f>B14+273.15</f>
        <v>297.14999999999998</v>
      </c>
      <c r="C24" s="32" t="s">
        <v>41</v>
      </c>
      <c r="D24" s="32"/>
      <c r="E24" s="32"/>
      <c r="F24" s="32"/>
      <c r="G24" s="32"/>
      <c r="H24" s="32"/>
      <c r="I24" s="1"/>
    </row>
    <row r="25" spans="1:9" x14ac:dyDescent="0.25">
      <c r="A25" s="8" t="s">
        <v>42</v>
      </c>
      <c r="B25" s="11">
        <f>B12*(B24/B23)</f>
        <v>24382.943987925541</v>
      </c>
      <c r="C25" s="32" t="s">
        <v>43</v>
      </c>
      <c r="D25" s="32"/>
      <c r="E25" s="32"/>
      <c r="F25" s="32"/>
      <c r="G25" s="32"/>
      <c r="H25" s="32"/>
      <c r="I25" s="1"/>
    </row>
    <row r="26" spans="1:9" x14ac:dyDescent="0.25">
      <c r="A26" s="4" t="s">
        <v>44</v>
      </c>
      <c r="B26" s="12">
        <f>B25/1000</f>
        <v>24.38294398792554</v>
      </c>
      <c r="C26" s="33"/>
      <c r="D26" s="33"/>
      <c r="E26" s="33"/>
      <c r="F26" s="33"/>
      <c r="G26" s="33"/>
      <c r="H26" s="33"/>
      <c r="I26" s="1"/>
    </row>
    <row r="27" spans="1:9" ht="15.75" x14ac:dyDescent="0.25">
      <c r="A27" s="30" t="s">
        <v>45</v>
      </c>
      <c r="B27" s="30"/>
      <c r="C27" s="30"/>
      <c r="D27" s="30"/>
      <c r="E27" s="30"/>
      <c r="F27" s="30"/>
      <c r="G27" s="30"/>
      <c r="H27" s="30"/>
      <c r="I27" s="1"/>
    </row>
    <row r="28" spans="1:9" x14ac:dyDescent="0.25">
      <c r="A28" s="4" t="s">
        <v>46</v>
      </c>
      <c r="B28" s="10">
        <f>B15+B16</f>
        <v>100</v>
      </c>
      <c r="C28" s="32" t="s">
        <v>47</v>
      </c>
      <c r="D28" s="32"/>
      <c r="E28" s="32"/>
      <c r="F28" s="32"/>
      <c r="G28" s="32"/>
      <c r="H28" s="32"/>
      <c r="I28" s="1"/>
    </row>
    <row r="29" spans="1:9" x14ac:dyDescent="0.25">
      <c r="A29" s="8" t="s">
        <v>48</v>
      </c>
      <c r="B29" s="13">
        <f>B28/B25</f>
        <v>4.1012274830110797E-3</v>
      </c>
      <c r="C29" s="32" t="s">
        <v>49</v>
      </c>
      <c r="D29" s="32"/>
      <c r="E29" s="32"/>
      <c r="F29" s="32"/>
      <c r="G29" s="32"/>
      <c r="H29" s="32"/>
      <c r="I29" s="1"/>
    </row>
    <row r="30" spans="1:9" ht="15.75" x14ac:dyDescent="0.25">
      <c r="A30" s="30" t="s">
        <v>50</v>
      </c>
      <c r="B30" s="30"/>
      <c r="C30" s="30"/>
      <c r="D30" s="30"/>
      <c r="E30" s="30"/>
      <c r="F30" s="30"/>
      <c r="G30" s="30"/>
      <c r="H30" s="30"/>
      <c r="I30" s="1"/>
    </row>
    <row r="31" spans="1:9" x14ac:dyDescent="0.25">
      <c r="A31" s="8" t="s">
        <v>51</v>
      </c>
      <c r="B31" s="14">
        <f>B11/B20</f>
        <v>194149624.644059</v>
      </c>
      <c r="C31" s="31" t="s">
        <v>52</v>
      </c>
      <c r="D31" s="31"/>
      <c r="E31" s="31"/>
      <c r="F31" s="31"/>
      <c r="G31" s="31"/>
      <c r="H31" s="31"/>
      <c r="I31" s="1"/>
    </row>
    <row r="32" spans="1:9" ht="15.75" x14ac:dyDescent="0.25">
      <c r="A32" s="30" t="s">
        <v>53</v>
      </c>
      <c r="B32" s="30"/>
      <c r="C32" s="30"/>
      <c r="D32" s="30"/>
      <c r="E32" s="30"/>
      <c r="F32" s="30"/>
      <c r="G32" s="30"/>
      <c r="H32" s="30"/>
      <c r="I32" s="1"/>
    </row>
    <row r="33" spans="1:12" x14ac:dyDescent="0.25">
      <c r="A33" s="3" t="s">
        <v>54</v>
      </c>
      <c r="B33" s="3" t="s">
        <v>55</v>
      </c>
      <c r="C33" s="3" t="s">
        <v>56</v>
      </c>
      <c r="D33" s="3" t="s">
        <v>57</v>
      </c>
      <c r="E33" s="3"/>
      <c r="F33" s="3" t="s">
        <v>58</v>
      </c>
      <c r="G33" s="3" t="s">
        <v>59</v>
      </c>
      <c r="H33" s="3" t="s">
        <v>60</v>
      </c>
      <c r="I33" s="3" t="s">
        <v>61</v>
      </c>
    </row>
    <row r="34" spans="1:12" x14ac:dyDescent="0.25">
      <c r="A34" s="15" t="s">
        <v>62</v>
      </c>
      <c r="B34" s="15" t="s">
        <v>63</v>
      </c>
      <c r="C34" s="16">
        <v>-2.22395E-9</v>
      </c>
      <c r="D34" s="16">
        <f t="shared" ref="D34:D39" si="0">ABS(C34)</f>
        <v>2.22395E-9</v>
      </c>
      <c r="E34" s="17"/>
      <c r="F34" s="14">
        <f>$B$29*$B$31*D34</f>
        <v>1.7708241381392358E-3</v>
      </c>
      <c r="G34" s="18">
        <f t="shared" ref="G34:G39" si="1">F34*1000</f>
        <v>1.7708241381392358</v>
      </c>
      <c r="H34" s="18">
        <f t="shared" ref="H34:H39" si="2">G34/$B$8</f>
        <v>2.856167964740703</v>
      </c>
      <c r="I34" s="19">
        <f>G34/B10</f>
        <v>3.6338014818584008</v>
      </c>
    </row>
    <row r="35" spans="1:12" x14ac:dyDescent="0.25">
      <c r="A35" s="15" t="s">
        <v>62</v>
      </c>
      <c r="B35" s="15" t="s">
        <v>64</v>
      </c>
      <c r="C35" s="16">
        <v>2.2180499999999998E-9</v>
      </c>
      <c r="D35" s="16">
        <f t="shared" si="0"/>
        <v>2.2180499999999998E-9</v>
      </c>
      <c r="E35" s="17"/>
      <c r="F35" s="14">
        <f t="shared" ref="F34:F39" si="3">$B$29*$B$31*D35</f>
        <v>1.7661262526584372E-3</v>
      </c>
      <c r="G35" s="18">
        <f t="shared" si="1"/>
        <v>1.7661262526584371</v>
      </c>
      <c r="H35" s="18">
        <f t="shared" si="2"/>
        <v>2.8485907300942537</v>
      </c>
      <c r="I35" s="19">
        <f>G35/B10</f>
        <v>3.6241612342166079</v>
      </c>
    </row>
    <row r="36" spans="1:12" x14ac:dyDescent="0.25">
      <c r="A36" s="15" t="s">
        <v>65</v>
      </c>
      <c r="B36" s="15" t="s">
        <v>63</v>
      </c>
      <c r="C36" s="16">
        <v>-2.2045E-9</v>
      </c>
      <c r="D36" s="16">
        <f t="shared" si="0"/>
        <v>2.2045E-9</v>
      </c>
      <c r="E36" s="17"/>
      <c r="F36" s="14">
        <f t="shared" si="3"/>
        <v>1.7553370410881293E-3</v>
      </c>
      <c r="G36" s="18">
        <f t="shared" si="1"/>
        <v>1.7553370410881293</v>
      </c>
      <c r="H36" s="18">
        <f t="shared" si="2"/>
        <v>2.8311887759485956</v>
      </c>
      <c r="I36" s="19">
        <f>G36/B10</f>
        <v>3.6020213434460504</v>
      </c>
    </row>
    <row r="37" spans="1:12" x14ac:dyDescent="0.25">
      <c r="A37" s="15" t="s">
        <v>65</v>
      </c>
      <c r="B37" s="15" t="s">
        <v>64</v>
      </c>
      <c r="C37" s="16">
        <v>2.18437E-9</v>
      </c>
      <c r="D37" s="16">
        <f t="shared" si="0"/>
        <v>2.18437E-9</v>
      </c>
      <c r="E37" s="17"/>
      <c r="F37" s="14">
        <f t="shared" si="3"/>
        <v>1.7393084928290664E-3</v>
      </c>
      <c r="G37" s="18">
        <f t="shared" si="1"/>
        <v>1.7393084928290663</v>
      </c>
      <c r="H37" s="18">
        <f t="shared" si="2"/>
        <v>2.8053362787565588</v>
      </c>
      <c r="I37" s="19">
        <f>G37/B10</f>
        <v>3.5691301256444765</v>
      </c>
      <c r="L37" s="20"/>
    </row>
    <row r="38" spans="1:12" x14ac:dyDescent="0.25">
      <c r="A38" s="15" t="s">
        <v>66</v>
      </c>
      <c r="B38" s="15" t="s">
        <v>63</v>
      </c>
      <c r="C38" s="16">
        <v>-2.2082399999999998E-9</v>
      </c>
      <c r="D38" s="16">
        <f t="shared" si="0"/>
        <v>2.2082399999999998E-9</v>
      </c>
      <c r="E38" s="17"/>
      <c r="F38" s="14">
        <f t="shared" si="3"/>
        <v>1.7583150227318894E-3</v>
      </c>
      <c r="G38" s="18">
        <f t="shared" si="1"/>
        <v>1.7583150227318893</v>
      </c>
      <c r="H38" s="18">
        <f t="shared" si="2"/>
        <v>2.8359919721482085</v>
      </c>
      <c r="I38" s="19">
        <f>G38/B10</f>
        <v>3.6081322800867794</v>
      </c>
    </row>
    <row r="39" spans="1:12" x14ac:dyDescent="0.25">
      <c r="A39" s="15" t="s">
        <v>66</v>
      </c>
      <c r="B39" s="15" t="s">
        <v>64</v>
      </c>
      <c r="C39" s="16">
        <v>2.18481E-9</v>
      </c>
      <c r="D39" s="16">
        <f t="shared" si="0"/>
        <v>2.18481E-9</v>
      </c>
      <c r="E39" s="17"/>
      <c r="F39" s="14">
        <f t="shared" si="3"/>
        <v>1.7396588436106853E-3</v>
      </c>
      <c r="G39" s="18">
        <f t="shared" si="1"/>
        <v>1.7396588436106852</v>
      </c>
      <c r="H39" s="18">
        <f t="shared" si="2"/>
        <v>2.8059013606623955</v>
      </c>
      <c r="I39" s="19">
        <f>G39/B10</f>
        <v>3.5698490593669154</v>
      </c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</row>
    <row r="41" spans="1:12" ht="15.75" x14ac:dyDescent="0.25">
      <c r="A41" s="30" t="s">
        <v>67</v>
      </c>
      <c r="B41" s="30"/>
      <c r="C41" s="30"/>
      <c r="D41" s="30"/>
      <c r="E41" s="30"/>
      <c r="F41" s="30"/>
      <c r="G41" s="30"/>
      <c r="H41" s="30"/>
      <c r="I41" s="1"/>
    </row>
    <row r="42" spans="1:12" x14ac:dyDescent="0.25">
      <c r="A42" s="3" t="s">
        <v>54</v>
      </c>
      <c r="B42" s="3" t="s">
        <v>68</v>
      </c>
      <c r="C42" s="3" t="s">
        <v>69</v>
      </c>
      <c r="D42" s="3" t="s">
        <v>70</v>
      </c>
      <c r="E42" s="3" t="s">
        <v>71</v>
      </c>
      <c r="F42" s="3" t="s">
        <v>72</v>
      </c>
      <c r="G42" s="3" t="s">
        <v>73</v>
      </c>
      <c r="H42" s="3" t="s">
        <v>74</v>
      </c>
      <c r="I42" s="3" t="s">
        <v>75</v>
      </c>
    </row>
    <row r="43" spans="1:12" x14ac:dyDescent="0.25">
      <c r="A43" s="15" t="s">
        <v>76</v>
      </c>
      <c r="B43" s="16">
        <f>D34</f>
        <v>2.22395E-9</v>
      </c>
      <c r="C43" s="21">
        <f>G34</f>
        <v>1.7708241381392358</v>
      </c>
      <c r="D43" s="18">
        <f>H34</f>
        <v>2.856167964740703</v>
      </c>
      <c r="E43" s="22">
        <f>I34</f>
        <v>3.6338014818584008</v>
      </c>
      <c r="F43" s="23">
        <f>C35</f>
        <v>2.2180499999999998E-9</v>
      </c>
      <c r="G43" s="21">
        <f>G35</f>
        <v>1.7661262526584371</v>
      </c>
      <c r="H43" s="18">
        <f>H35</f>
        <v>2.8485907300942537</v>
      </c>
      <c r="I43" s="24">
        <f>I35</f>
        <v>3.6241612342166079</v>
      </c>
    </row>
    <row r="44" spans="1:12" x14ac:dyDescent="0.25">
      <c r="A44" s="15" t="s">
        <v>77</v>
      </c>
      <c r="B44" s="16">
        <f>D36</f>
        <v>2.2045E-9</v>
      </c>
      <c r="C44" s="21">
        <f>G36</f>
        <v>1.7553370410881293</v>
      </c>
      <c r="D44" s="18">
        <f>H36</f>
        <v>2.8311887759485956</v>
      </c>
      <c r="E44" s="22">
        <f>I36</f>
        <v>3.6020213434460504</v>
      </c>
      <c r="F44" s="23">
        <f>C37</f>
        <v>2.18437E-9</v>
      </c>
      <c r="G44" s="21">
        <f>G37</f>
        <v>1.7393084928290663</v>
      </c>
      <c r="H44" s="18">
        <f>H37</f>
        <v>2.8053362787565588</v>
      </c>
      <c r="I44" s="24">
        <f>I37</f>
        <v>3.5691301256444765</v>
      </c>
    </row>
    <row r="45" spans="1:12" x14ac:dyDescent="0.25">
      <c r="A45" s="15" t="s">
        <v>78</v>
      </c>
      <c r="B45" s="16">
        <f>D38</f>
        <v>2.2082399999999998E-9</v>
      </c>
      <c r="C45" s="21">
        <f>G38</f>
        <v>1.7583150227318893</v>
      </c>
      <c r="D45" s="18">
        <f>H38</f>
        <v>2.8359919721482085</v>
      </c>
      <c r="E45" s="25">
        <f>I38</f>
        <v>3.6081322800867794</v>
      </c>
      <c r="F45" s="23">
        <f>C39</f>
        <v>2.18481E-9</v>
      </c>
      <c r="G45" s="21">
        <f>G39</f>
        <v>1.7396588436106852</v>
      </c>
      <c r="H45" s="18">
        <f>H39</f>
        <v>2.8059013606623955</v>
      </c>
      <c r="I45" s="24">
        <f>I39</f>
        <v>3.5698490593669154</v>
      </c>
    </row>
    <row r="46" spans="1:12" x14ac:dyDescent="0.25">
      <c r="A46" s="26" t="s">
        <v>79</v>
      </c>
      <c r="B46" s="1"/>
      <c r="C46" s="1"/>
      <c r="D46" s="27">
        <f>AVERAGE(D43:D45)</f>
        <v>2.8411162376125021</v>
      </c>
      <c r="E46" s="28">
        <f>AVERAGE(E43:E45)</f>
        <v>3.6146517017970772</v>
      </c>
      <c r="F46" s="1"/>
      <c r="G46" s="1"/>
      <c r="H46" s="27">
        <f>AVERAGE(H43:H45)</f>
        <v>2.8199427898377358</v>
      </c>
      <c r="I46" s="29">
        <f>AVERAGE(I43:I45)</f>
        <v>3.5877134730760001</v>
      </c>
    </row>
  </sheetData>
  <mergeCells count="41">
    <mergeCell ref="A2:H2"/>
    <mergeCell ref="A3:H3"/>
    <mergeCell ref="A5:H5"/>
    <mergeCell ref="J5:M5"/>
    <mergeCell ref="C6:H6"/>
    <mergeCell ref="J6:K6"/>
    <mergeCell ref="L6:M6"/>
    <mergeCell ref="C7:H7"/>
    <mergeCell ref="J7:K7"/>
    <mergeCell ref="L7:M7"/>
    <mergeCell ref="C8:H8"/>
    <mergeCell ref="J8:K8"/>
    <mergeCell ref="L8:M8"/>
    <mergeCell ref="C9:H9"/>
    <mergeCell ref="J9:K9"/>
    <mergeCell ref="L9:M9"/>
    <mergeCell ref="C10:H10"/>
    <mergeCell ref="J10:K10"/>
    <mergeCell ref="L10:M10"/>
    <mergeCell ref="C23:H23"/>
    <mergeCell ref="C11:H11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A22:H22"/>
    <mergeCell ref="A30:H30"/>
    <mergeCell ref="C31:H31"/>
    <mergeCell ref="A32:H32"/>
    <mergeCell ref="A41:H41"/>
    <mergeCell ref="C24:H24"/>
    <mergeCell ref="C25:H25"/>
    <mergeCell ref="C26:H26"/>
    <mergeCell ref="A27:H27"/>
    <mergeCell ref="C28:H28"/>
    <mergeCell ref="C29:H29"/>
  </mergeCells>
  <pageMargins left="0.70000000000000007" right="0.70000000000000007" top="0.75" bottom="0.75" header="0.30000000000000004" footer="0.30000000000000004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 Gul</dc:creator>
  <cp:lastModifiedBy>Rodrigo Jeronimo</cp:lastModifiedBy>
  <dcterms:created xsi:type="dcterms:W3CDTF">2026-10-20T14:07:40Z</dcterms:created>
  <dcterms:modified xsi:type="dcterms:W3CDTF">2026-10-20T14:13:30Z</dcterms:modified>
</cp:coreProperties>
</file>